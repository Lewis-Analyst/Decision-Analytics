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1417F0F-D036-4543-BFBD-E72303CB729F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Posterior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5" l="1"/>
  <c r="E13" i="5" s="1"/>
  <c r="D12" i="5"/>
  <c r="E12" i="5" s="1"/>
  <c r="E7" i="5"/>
  <c r="E6" i="5"/>
  <c r="E8" i="5" l="1"/>
  <c r="F6" i="5" s="1"/>
  <c r="E14" i="5"/>
  <c r="F12" i="5" s="1"/>
  <c r="F7" i="5" l="1"/>
  <c r="F13" i="5"/>
</calcChain>
</file>

<file path=xl/sharedStrings.xml><?xml version="1.0" encoding="utf-8"?>
<sst xmlns="http://schemas.openxmlformats.org/spreadsheetml/2006/main" count="19" uniqueCount="12">
  <si>
    <t>Event</t>
  </si>
  <si>
    <t>Prior</t>
  </si>
  <si>
    <t>Joint</t>
  </si>
  <si>
    <t>Posterior</t>
  </si>
  <si>
    <t>Conditional</t>
  </si>
  <si>
    <t>Favourable</t>
  </si>
  <si>
    <t>Unfavorable</t>
  </si>
  <si>
    <t>Default</t>
  </si>
  <si>
    <t>No Default</t>
  </si>
  <si>
    <t>p (Unfavorable)</t>
  </si>
  <si>
    <t>p (Favorable)</t>
  </si>
  <si>
    <t>Calculating Posterior Probabilities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</si>
</sst>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9"/>
        <bgColor rgb="FFD9E1F2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4"/>
  <sheetViews>
    <sheetView tabSelected="1" workbookViewId="0">
      <selection activeCell="D22" sqref="D22"/>
    </sheetView>
  </sheetViews>
  <sheetFormatPr defaultRowHeight="15" x14ac:dyDescent="0.25"/>
  <cols>
    <col min="2" max="2" width="10.85546875" bestFit="1" customWidth="1"/>
    <col min="4" max="4" width="15.140625" bestFit="1" customWidth="1"/>
  </cols>
  <sheetData>
    <row r="2" spans="2:6" ht="18.75" x14ac:dyDescent="0.3">
      <c r="B2" s="6" t="s">
        <v>11</v>
      </c>
      <c r="C2" s="6"/>
      <c r="D2" s="6"/>
      <c r="E2" s="6"/>
    </row>
    <row r="3" spans="2:6" x14ac:dyDescent="0.25">
      <c r="B3" s="2"/>
      <c r="C3" s="2"/>
      <c r="D3" s="2"/>
      <c r="E3" s="2"/>
    </row>
    <row r="4" spans="2:6" x14ac:dyDescent="0.25">
      <c r="B4" s="7" t="s">
        <v>5</v>
      </c>
    </row>
    <row r="5" spans="2:6" x14ac:dyDescent="0.25">
      <c r="B5" s="1" t="s">
        <v>0</v>
      </c>
      <c r="C5" s="1" t="s">
        <v>1</v>
      </c>
      <c r="D5" s="1" t="s">
        <v>4</v>
      </c>
      <c r="E5" s="1" t="s">
        <v>2</v>
      </c>
      <c r="F5" s="4" t="s">
        <v>3</v>
      </c>
    </row>
    <row r="6" spans="2:6" x14ac:dyDescent="0.25">
      <c r="B6" t="s">
        <v>7</v>
      </c>
      <c r="C6">
        <v>0.04</v>
      </c>
      <c r="D6">
        <v>0.15</v>
      </c>
      <c r="E6">
        <f>C6*D6</f>
        <v>6.0000000000000001E-3</v>
      </c>
      <c r="F6" s="4">
        <f>E6/$E$8</f>
        <v>8.0000000000000002E-3</v>
      </c>
    </row>
    <row r="7" spans="2:6" x14ac:dyDescent="0.25">
      <c r="B7" t="s">
        <v>8</v>
      </c>
      <c r="C7">
        <v>0.96</v>
      </c>
      <c r="D7">
        <v>0.77500000000000002</v>
      </c>
      <c r="E7">
        <f>C7*D7</f>
        <v>0.74399999999999999</v>
      </c>
      <c r="F7" s="5">
        <f>E7/$E$8</f>
        <v>0.99199999999999999</v>
      </c>
    </row>
    <row r="8" spans="2:6" x14ac:dyDescent="0.25">
      <c r="D8" s="3" t="s">
        <v>10</v>
      </c>
      <c r="E8">
        <f>E6+E7</f>
        <v>0.75</v>
      </c>
    </row>
    <row r="10" spans="2:6" x14ac:dyDescent="0.25">
      <c r="B10" s="7" t="s">
        <v>6</v>
      </c>
    </row>
    <row r="11" spans="2:6" x14ac:dyDescent="0.25">
      <c r="B11" s="1" t="s">
        <v>0</v>
      </c>
      <c r="C11" s="1" t="s">
        <v>1</v>
      </c>
      <c r="D11" s="1" t="s">
        <v>4</v>
      </c>
      <c r="E11" s="1" t="s">
        <v>2</v>
      </c>
      <c r="F11" s="4" t="s">
        <v>3</v>
      </c>
    </row>
    <row r="12" spans="2:6" x14ac:dyDescent="0.25">
      <c r="B12" t="s">
        <v>7</v>
      </c>
      <c r="C12">
        <v>0.04</v>
      </c>
      <c r="D12">
        <f>1-D6</f>
        <v>0.85</v>
      </c>
      <c r="E12">
        <f>C12*D12</f>
        <v>3.4000000000000002E-2</v>
      </c>
      <c r="F12" s="5">
        <f>E12/E14</f>
        <v>0.13600000000000004</v>
      </c>
    </row>
    <row r="13" spans="2:6" x14ac:dyDescent="0.25">
      <c r="B13" t="s">
        <v>8</v>
      </c>
      <c r="C13">
        <v>0.96</v>
      </c>
      <c r="D13">
        <f>1-D7</f>
        <v>0.22499999999999998</v>
      </c>
      <c r="E13">
        <f>C13*D13</f>
        <v>0.21599999999999997</v>
      </c>
      <c r="F13" s="5">
        <f>E13/E14</f>
        <v>0.86399999999999999</v>
      </c>
    </row>
    <row r="14" spans="2:6" x14ac:dyDescent="0.25">
      <c r="D14" s="3" t="s">
        <v>9</v>
      </c>
      <c r="E14">
        <f>E12+E13</f>
        <v>0.24999999999999997</v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Munene Mwangi</cp:lastModifiedBy>
  <dcterms:created xsi:type="dcterms:W3CDTF">2026-03-25T11:36:14Z</dcterms:created>
  <dcterms:modified xsi:type="dcterms:W3CDTF">2026-03-25T14:25:43Z</dcterms:modified>
</cp:coreProperties>
</file>